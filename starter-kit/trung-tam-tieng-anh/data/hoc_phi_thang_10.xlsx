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arter-kit\trung-tam-tieng-anh\data\"/>
    </mc:Choice>
  </mc:AlternateContent>
  <xr:revisionPtr revIDLastSave="0" documentId="13_ncr:1_{28598069-1C3B-4875-B466-DEF0261E5DB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9" i="1"/>
  <c r="G10" i="1"/>
  <c r="G11" i="1"/>
  <c r="G12" i="1"/>
  <c r="G13" i="1"/>
  <c r="F3" i="1"/>
  <c r="G3" i="1" s="1"/>
  <c r="F4" i="1"/>
  <c r="G4" i="1" s="1"/>
  <c r="F5" i="1"/>
  <c r="F6" i="1"/>
  <c r="F7" i="1"/>
  <c r="G7" i="1" s="1"/>
  <c r="F8" i="1"/>
  <c r="G8" i="1" s="1"/>
  <c r="F9" i="1"/>
  <c r="F10" i="1"/>
  <c r="F11" i="1"/>
  <c r="F12" i="1"/>
  <c r="F13" i="1"/>
  <c r="F14" i="1"/>
  <c r="G14" i="1" s="1"/>
  <c r="F15" i="1"/>
  <c r="G15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<sst xmlns="http://schemas.openxmlformats.org/spreadsheetml/2006/main" count="72" uniqueCount="53">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</sst>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topLeftCell="B1" workbookViewId="0">
      <selection activeCell="E19" sqref="E19"/>
    </sheetView>
  </sheetViews>
  <sheetFormatPr defaultRowHeight="14.5" x14ac:dyDescent="0.35"/>
  <cols>
    <col min="1" max="7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3</v>
      </c>
      <c r="E2" t="str">
        <f>VLOOKUP(C2,KhoaHoc!$A$2:$C$8,2,0)</f>
        <v>Tieng Anh thieu nhi</v>
      </c>
      <c r="F2">
        <f>VLOOKUP(C2,KhoaHoc!$A$2:$C$8,3,FALSE)</f>
        <v>900000</v>
      </c>
      <c r="G2">
        <f>D2*F2</f>
        <v>2700000</v>
      </c>
    </row>
    <row r="3" spans="1:7" hidden="1" x14ac:dyDescent="0.35">
      <c r="A3" t="s">
        <v>10</v>
      </c>
      <c r="B3" t="s">
        <v>11</v>
      </c>
      <c r="C3" t="s">
        <v>12</v>
      </c>
      <c r="D3">
        <v>2</v>
      </c>
      <c r="E3" t="str">
        <f>VLOOKUP(C3,KhoaHoc!$A$2:$C$8,2,0)</f>
        <v>IELTS 6.5</v>
      </c>
      <c r="F3">
        <f>VLOOKUP(C3,KhoaHoc!$A$2:$C$8,3,FALSE)</f>
        <v>2500000</v>
      </c>
      <c r="G3">
        <f t="shared" ref="G3:G15" si="0">D3*F3</f>
        <v>5000000</v>
      </c>
    </row>
    <row r="4" spans="1:7" x14ac:dyDescent="0.35">
      <c r="A4" t="s">
        <v>13</v>
      </c>
      <c r="B4" t="s">
        <v>14</v>
      </c>
      <c r="C4" t="s">
        <v>15</v>
      </c>
      <c r="D4">
        <v>3</v>
      </c>
      <c r="E4" t="str">
        <f>VLOOKUP(C4,KhoaHoc!$A$2:$C$8,2,0)</f>
        <v>Luyen phong van</v>
      </c>
      <c r="F4">
        <f>VLOOKUP(C4,KhoaHoc!$A$2:$C$8,3,FALSE)</f>
        <v>3000000</v>
      </c>
      <c r="G4">
        <f t="shared" si="0"/>
        <v>9000000</v>
      </c>
    </row>
    <row r="5" spans="1:7" hidden="1" x14ac:dyDescent="0.35">
      <c r="A5" t="s">
        <v>16</v>
      </c>
      <c r="B5" t="s">
        <v>17</v>
      </c>
      <c r="C5" t="s">
        <v>18</v>
      </c>
      <c r="D5">
        <v>1</v>
      </c>
      <c r="E5" t="str">
        <f>VLOOKUP(C5,KhoaHoc!$A$2:$C$8,2,0)</f>
        <v>Giao tiep nang cao</v>
      </c>
      <c r="F5">
        <f>VLOOKUP(C5,KhoaHoc!$A$2:$C$8,3,FALSE)</f>
        <v>1500000</v>
      </c>
      <c r="G5">
        <f t="shared" si="0"/>
        <v>1500000</v>
      </c>
    </row>
    <row r="6" spans="1:7" x14ac:dyDescent="0.35">
      <c r="A6" t="s">
        <v>19</v>
      </c>
      <c r="B6" t="s">
        <v>20</v>
      </c>
      <c r="C6" t="s">
        <v>18</v>
      </c>
      <c r="D6">
        <v>4</v>
      </c>
      <c r="E6" t="str">
        <f>VLOOKUP(C6,KhoaHoc!$A$2:$C$8,2,0)</f>
        <v>Giao tiep nang cao</v>
      </c>
      <c r="F6">
        <f>VLOOKUP(C6,KhoaHoc!$A$2:$C$8,3,FALSE)</f>
        <v>1500000</v>
      </c>
      <c r="G6">
        <f t="shared" si="0"/>
        <v>6000000</v>
      </c>
    </row>
    <row r="7" spans="1:7" x14ac:dyDescent="0.35">
      <c r="A7" t="s">
        <v>21</v>
      </c>
      <c r="B7" t="s">
        <v>22</v>
      </c>
      <c r="C7" t="s">
        <v>23</v>
      </c>
      <c r="D7">
        <v>4</v>
      </c>
      <c r="E7" t="str">
        <f>VLOOKUP(C7,KhoaHoc!$A$2:$C$8,2,0)</f>
        <v>IELTS 5.0</v>
      </c>
      <c r="F7">
        <f>VLOOKUP(C7,KhoaHoc!$A$2:$C$8,3,FALSE)</f>
        <v>2000000</v>
      </c>
      <c r="G7">
        <f t="shared" si="0"/>
        <v>8000000</v>
      </c>
    </row>
    <row r="8" spans="1:7" x14ac:dyDescent="0.35">
      <c r="A8" t="s">
        <v>24</v>
      </c>
      <c r="B8" t="s">
        <v>25</v>
      </c>
      <c r="C8" t="s">
        <v>26</v>
      </c>
      <c r="D8">
        <v>4</v>
      </c>
      <c r="E8" t="str">
        <f>VLOOKUP(C8,KhoaHoc!$A$2:$C$8,2,0)</f>
        <v>TOEIC 550</v>
      </c>
      <c r="F8">
        <f>VLOOKUP(C8,KhoaHoc!$A$2:$C$8,3,FALSE)</f>
        <v>1800000</v>
      </c>
      <c r="G8">
        <f t="shared" si="0"/>
        <v>7200000</v>
      </c>
    </row>
    <row r="9" spans="1:7" x14ac:dyDescent="0.35">
      <c r="A9" t="s">
        <v>27</v>
      </c>
      <c r="B9" t="s">
        <v>28</v>
      </c>
      <c r="C9" t="s">
        <v>15</v>
      </c>
      <c r="D9">
        <v>3</v>
      </c>
      <c r="E9" t="str">
        <f>VLOOKUP(C9,KhoaHoc!$A$2:$C$8,2,0)</f>
        <v>Luyen phong van</v>
      </c>
      <c r="F9">
        <f>VLOOKUP(C9,KhoaHoc!$A$2:$C$8,3,FALSE)</f>
        <v>3000000</v>
      </c>
      <c r="G9">
        <f t="shared" si="0"/>
        <v>9000000</v>
      </c>
    </row>
    <row r="10" spans="1:7" x14ac:dyDescent="0.35">
      <c r="A10" t="s">
        <v>29</v>
      </c>
      <c r="B10" t="s">
        <v>30</v>
      </c>
      <c r="C10" t="s">
        <v>12</v>
      </c>
      <c r="D10">
        <v>3</v>
      </c>
      <c r="E10" t="str">
        <f>VLOOKUP(C10,KhoaHoc!$A$2:$C$8,2,0)</f>
        <v>IELTS 6.5</v>
      </c>
      <c r="F10">
        <f>VLOOKUP(C10,KhoaHoc!$A$2:$C$8,3,FALSE)</f>
        <v>2500000</v>
      </c>
      <c r="G10">
        <f t="shared" si="0"/>
        <v>7500000</v>
      </c>
    </row>
    <row r="11" spans="1:7" hidden="1" x14ac:dyDescent="0.35">
      <c r="A11" t="s">
        <v>31</v>
      </c>
      <c r="B11" t="s">
        <v>32</v>
      </c>
      <c r="C11" t="s">
        <v>12</v>
      </c>
      <c r="D11">
        <v>1</v>
      </c>
      <c r="E11" t="str">
        <f>VLOOKUP(C11,KhoaHoc!$A$2:$C$8,2,0)</f>
        <v>IELTS 6.5</v>
      </c>
      <c r="F11">
        <f>VLOOKUP(C11,KhoaHoc!$A$2:$C$8,3,FALSE)</f>
        <v>2500000</v>
      </c>
      <c r="G11">
        <f t="shared" si="0"/>
        <v>2500000</v>
      </c>
    </row>
    <row r="12" spans="1:7" hidden="1" x14ac:dyDescent="0.35">
      <c r="A12" t="s">
        <v>33</v>
      </c>
      <c r="B12" t="s">
        <v>34</v>
      </c>
      <c r="C12" t="s">
        <v>9</v>
      </c>
      <c r="D12">
        <v>1</v>
      </c>
      <c r="E12" t="str">
        <f>VLOOKUP(C12,KhoaHoc!$A$2:$C$8,2,0)</f>
        <v>Tieng Anh thieu nhi</v>
      </c>
      <c r="F12">
        <f>VLOOKUP(C12,KhoaHoc!$A$2:$C$8,3,FALSE)</f>
        <v>900000</v>
      </c>
      <c r="G12">
        <f t="shared" si="0"/>
        <v>900000</v>
      </c>
    </row>
    <row r="13" spans="1:7" hidden="1" x14ac:dyDescent="0.35">
      <c r="A13" t="s">
        <v>35</v>
      </c>
      <c r="B13" t="s">
        <v>36</v>
      </c>
      <c r="C13" t="s">
        <v>37</v>
      </c>
      <c r="D13">
        <v>4</v>
      </c>
      <c r="E13" t="str">
        <f>VLOOKUP(C13,KhoaHoc!$A$2:$C$8,2,0)</f>
        <v>Giao tiep co ban</v>
      </c>
      <c r="F13">
        <f>VLOOKUP(C13,KhoaHoc!$A$2:$C$8,3,FALSE)</f>
        <v>1200000</v>
      </c>
      <c r="G13">
        <f t="shared" si="0"/>
        <v>4800000</v>
      </c>
    </row>
    <row r="14" spans="1:7" hidden="1" x14ac:dyDescent="0.35">
      <c r="A14" t="s">
        <v>38</v>
      </c>
      <c r="B14" t="s">
        <v>39</v>
      </c>
      <c r="C14" t="s">
        <v>26</v>
      </c>
      <c r="D14">
        <v>3</v>
      </c>
      <c r="E14" t="str">
        <f>VLOOKUP(C14,KhoaHoc!$A$2:$C$8,2,0)</f>
        <v>TOEIC 550</v>
      </c>
      <c r="F14">
        <f>VLOOKUP(C14,KhoaHoc!$A$2:$C$8,3,FALSE)</f>
        <v>1800000</v>
      </c>
      <c r="G14">
        <f t="shared" si="0"/>
        <v>5400000</v>
      </c>
    </row>
    <row r="15" spans="1:7" hidden="1" x14ac:dyDescent="0.35">
      <c r="A15" t="s">
        <v>40</v>
      </c>
      <c r="B15" t="s">
        <v>41</v>
      </c>
      <c r="C15" t="s">
        <v>12</v>
      </c>
      <c r="D15">
        <v>1</v>
      </c>
      <c r="E15" t="str">
        <f>VLOOKUP(C15,KhoaHoc!$A$2:$C$8,2,0)</f>
        <v>IELTS 6.5</v>
      </c>
      <c r="F15">
        <f>VLOOKUP(C15,KhoaHoc!$A$2:$C$8,3,FALSE)</f>
        <v>2500000</v>
      </c>
      <c r="G15">
        <f t="shared" si="0"/>
        <v>2500000</v>
      </c>
    </row>
    <row r="16" spans="1:7" hidden="1" x14ac:dyDescent="0.35">
      <c r="A16" t="s">
        <v>42</v>
      </c>
      <c r="B16" t="s">
        <v>43</v>
      </c>
      <c r="C16" t="s">
        <v>12</v>
      </c>
      <c r="D16">
        <v>4</v>
      </c>
      <c r="E16" t="str">
        <f>VLOOKUP(C16,KhoaHoc!$A$2:$C$8,2,0)</f>
        <v>IELTS 6.5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5" x14ac:dyDescent="0.35"/>
  <cols>
    <col min="1" max="7" width="16" customWidth="1"/>
  </cols>
  <sheetData>
    <row r="1" spans="1:6" x14ac:dyDescent="0.35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5">
      <c r="A2" t="s">
        <v>37</v>
      </c>
      <c r="B2" t="s">
        <v>46</v>
      </c>
      <c r="C2">
        <v>1200000</v>
      </c>
      <c r="E2" t="s">
        <v>12</v>
      </c>
    </row>
    <row r="3" spans="1:6" x14ac:dyDescent="0.35">
      <c r="A3" t="s">
        <v>18</v>
      </c>
      <c r="B3" t="s">
        <v>47</v>
      </c>
      <c r="C3">
        <v>1500000</v>
      </c>
    </row>
    <row r="4" spans="1:6" x14ac:dyDescent="0.35">
      <c r="A4" t="s">
        <v>23</v>
      </c>
      <c r="B4" t="s">
        <v>48</v>
      </c>
      <c r="C4">
        <v>2000000</v>
      </c>
    </row>
    <row r="5" spans="1:6" x14ac:dyDescent="0.35">
      <c r="A5" t="s">
        <v>12</v>
      </c>
      <c r="B5" t="s">
        <v>49</v>
      </c>
      <c r="C5">
        <v>2500000</v>
      </c>
    </row>
    <row r="6" spans="1:6" x14ac:dyDescent="0.35">
      <c r="A6" t="s">
        <v>26</v>
      </c>
      <c r="B6" t="s">
        <v>50</v>
      </c>
      <c r="C6">
        <v>1800000</v>
      </c>
    </row>
    <row r="7" spans="1:6" x14ac:dyDescent="0.35">
      <c r="A7" t="s">
        <v>9</v>
      </c>
      <c r="B7" t="s">
        <v>51</v>
      </c>
      <c r="C7">
        <v>900000</v>
      </c>
    </row>
    <row r="8" spans="1:6" x14ac:dyDescent="0.35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2026-10-19T10:04:50Z</dcterms:created>
  <dcterms:modified xsi:type="dcterms:W3CDTF">2026-10-22T04:30:47Z</dcterms:modified>
</cp:coreProperties>
</file>